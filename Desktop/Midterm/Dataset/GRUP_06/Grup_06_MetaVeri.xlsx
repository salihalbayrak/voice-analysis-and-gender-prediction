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ih ALBAYRAK\Desktop\Midterm\Dataset\GRUP_06\"/>
    </mc:Choice>
  </mc:AlternateContent>
  <xr:revisionPtr revIDLastSave="0" documentId="13_ncr:1_{220271AB-22AD-4593-9619-F98ECDCEEA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2" sheetId="1" r:id="rId1"/>
    <sheet name="Sayf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zO4nvODu8eNiTCaH9fsr3/EX4qt9J7s+36bFxP4qRI="/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<sst xmlns="http://schemas.openxmlformats.org/spreadsheetml/2006/main" count="252" uniqueCount="47">
  <si>
    <t>Dosya_Adi</t>
  </si>
  <si>
    <t>Denek_ID</t>
  </si>
  <si>
    <t>Cinsiyet</t>
  </si>
  <si>
    <t>Yas</t>
  </si>
  <si>
    <t>Duygu</t>
  </si>
  <si>
    <t>Cumle_No</t>
  </si>
  <si>
    <t>Kayit_Cihazı</t>
  </si>
  <si>
    <t>Ortam</t>
  </si>
  <si>
    <t>Gürültü Seviyesi</t>
  </si>
  <si>
    <t>G06_D01_E_21_Notr_C1.wav</t>
  </si>
  <si>
    <t>D01</t>
  </si>
  <si>
    <t>E</t>
  </si>
  <si>
    <t>Notr</t>
  </si>
  <si>
    <t>Iphone 14</t>
  </si>
  <si>
    <t>Ev</t>
  </si>
  <si>
    <t>G06_D01_E_21_Mutlu_C2.wav</t>
  </si>
  <si>
    <t>Mutlu</t>
  </si>
  <si>
    <t>G06_D01_E_21_Saskin_C5.wav</t>
  </si>
  <si>
    <t>Saskin</t>
  </si>
  <si>
    <t>G06_D02_E_21_Notr_C1.wav</t>
  </si>
  <si>
    <t>D02</t>
  </si>
  <si>
    <t>Tecno 40 pro</t>
  </si>
  <si>
    <t>G06_D02_E_21_Mutlu_C2.wav</t>
  </si>
  <si>
    <t>G06_D02_E_21_Ofkeli_C3.wav</t>
  </si>
  <si>
    <t>Ofkeli</t>
  </si>
  <si>
    <t>G06_D03_K_25_Notr_C1.wav</t>
  </si>
  <si>
    <t>D03</t>
  </si>
  <si>
    <t>K</t>
  </si>
  <si>
    <t>G06_D03_K_25_Mutlu_C2.wav</t>
  </si>
  <si>
    <t>G06_D03_K_25_Ofkeli_C3.wav</t>
  </si>
  <si>
    <t>G06_D04_E_22_Notr_C1.wav</t>
  </si>
  <si>
    <t>D04</t>
  </si>
  <si>
    <t>G06_D04_E_22_Mutlu_C2.wav</t>
  </si>
  <si>
    <t>G06_D04_E_22_Ofkeli_C3.wav</t>
  </si>
  <si>
    <t>G06_D05_C_10_Notr_C1.wav</t>
  </si>
  <si>
    <t>D05</t>
  </si>
  <si>
    <t>C</t>
  </si>
  <si>
    <t>G06_D05_C_10_Ofkeli_C3.wav</t>
  </si>
  <si>
    <t>G06_D05_C_10_Uzgun_C4.wav</t>
  </si>
  <si>
    <t>Uzgun</t>
  </si>
  <si>
    <t>G06_D06_E_20_Notr_C1.wav</t>
  </si>
  <si>
    <t>D06</t>
  </si>
  <si>
    <t>G06_D06_E_20_Ofkeli_C3.wav</t>
  </si>
  <si>
    <t>G06_D06_E_20_Uzgun_C4.wav</t>
  </si>
  <si>
    <t xml:space="preserve">Cumle_No  </t>
  </si>
  <si>
    <t>Orta</t>
  </si>
  <si>
    <t>Düşük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</si>
</sst>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Arial"/>
    </font>
    <font>
      <sz val="11"/>
      <color theme="1"/>
      <name val="Aptos Narrow"/>
    </font>
    <font>
      <sz val="10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/>
    <xf numFmtId="0" fontId="3" fillId="0" borderId="3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right"/>
    </xf>
    <xf numFmtId="0" fontId="2" fillId="0" borderId="6" xfId="0" applyFont="1" applyBorder="1"/>
    <xf numFmtId="0" fontId="1" fillId="0" borderId="3" xfId="0" applyFont="1" applyBorder="1" applyAlignment="1">
      <alignment horizontal="right"/>
    </xf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 applyAlignment="1">
      <alignment horizontal="right"/>
    </xf>
    <xf numFmtId="0" fontId="1" fillId="0" borderId="9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5" fillId="0" borderId="3" xfId="0" applyFont="1" applyBorder="1"/>
    <xf numFmtId="0" fontId="4" fillId="0" borderId="8" xfId="0" applyFont="1" applyBorder="1"/>
    <xf numFmtId="0" fontId="4" fillId="0" borderId="6" xfId="0" applyFont="1" applyBorder="1"/>
    <xf numFmtId="0" fontId="6" fillId="0" borderId="0" xfId="0" applyFont="1"/>
    <xf numFmtId="0" fontId="4" fillId="0" borderId="10" xfId="0" applyFont="1" applyBorder="1"/>
    <xf numFmtId="0" fontId="4" fillId="0" borderId="9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M6" sqref="M6"/>
    </sheetView>
  </sheetViews>
  <sheetFormatPr defaultColWidth="12.6640625" defaultRowHeight="15" customHeight="1"/>
  <cols>
    <col min="1" max="7" width="8.6640625" customWidth="1"/>
    <col min="8" max="8" width="29.21875" customWidth="1"/>
    <col min="9" max="9" width="12.77734375" customWidth="1"/>
    <col min="10" max="12" width="8.6640625" customWidth="1"/>
    <col min="13" max="13" width="11.88671875" customWidth="1"/>
    <col min="14" max="14" width="21.44140625" customWidth="1"/>
    <col min="15" max="15" width="8.6640625" customWidth="1"/>
    <col min="16" max="16" width="18.109375" customWidth="1"/>
    <col min="17" max="22" width="8.6640625" customWidth="1"/>
  </cols>
  <sheetData>
    <row r="1" spans="1:16" ht="14.2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5" t="s">
        <v>7</v>
      </c>
      <c r="I1" s="7" t="s">
        <v>8</v>
      </c>
    </row>
    <row r="2" spans="1:16" ht="14.25" customHeight="1">
      <c r="A2" s="8" t="s">
        <v>9</v>
      </c>
      <c r="B2" s="9" t="s">
        <v>10</v>
      </c>
      <c r="C2" s="9" t="s">
        <v>11</v>
      </c>
      <c r="D2" s="10">
        <v>21</v>
      </c>
      <c r="E2" s="9" t="s">
        <v>12</v>
      </c>
      <c r="F2" s="10">
        <v>1</v>
      </c>
      <c r="G2" s="1" t="s">
        <v>13</v>
      </c>
      <c r="H2" s="9" t="s">
        <v>14</v>
      </c>
      <c r="I2" s="11" t="str">
        <f>VLOOKUP(A2, Sayfa1!$K$14:$V$32, 12, FALSE)</f>
        <v>Orta</v>
      </c>
    </row>
    <row r="3" spans="1:16" ht="14.25" customHeight="1">
      <c r="A3" s="4" t="s">
        <v>15</v>
      </c>
      <c r="B3" s="4" t="s">
        <v>10</v>
      </c>
      <c r="C3" s="4" t="s">
        <v>11</v>
      </c>
      <c r="D3" s="12">
        <v>21</v>
      </c>
      <c r="E3" s="6" t="s">
        <v>16</v>
      </c>
      <c r="F3" s="12">
        <v>2</v>
      </c>
      <c r="G3" s="13" t="s">
        <v>13</v>
      </c>
      <c r="H3" s="4" t="s">
        <v>14</v>
      </c>
      <c r="I3" s="7" t="str">
        <f>VLOOKUP(A3, Sayfa1!$K$14:$V$32, 12, FALSE)</f>
        <v>Orta</v>
      </c>
    </row>
    <row r="4" spans="1:16" ht="14.25" customHeight="1">
      <c r="A4" s="4" t="s">
        <v>17</v>
      </c>
      <c r="B4" s="9" t="s">
        <v>10</v>
      </c>
      <c r="C4" s="9" t="s">
        <v>11</v>
      </c>
      <c r="D4" s="10">
        <v>21</v>
      </c>
      <c r="E4" s="9" t="s">
        <v>18</v>
      </c>
      <c r="F4" s="10">
        <v>5</v>
      </c>
      <c r="G4" s="1" t="s">
        <v>13</v>
      </c>
      <c r="H4" s="14" t="s">
        <v>14</v>
      </c>
      <c r="I4" s="11" t="str">
        <f>VLOOKUP(A4, Sayfa1!$K$14:$V$32, 12, FALSE)</f>
        <v>Orta</v>
      </c>
    </row>
    <row r="5" spans="1:16" ht="14.25" customHeight="1">
      <c r="A5" s="4" t="s">
        <v>19</v>
      </c>
      <c r="B5" s="4" t="s">
        <v>20</v>
      </c>
      <c r="C5" s="4" t="s">
        <v>11</v>
      </c>
      <c r="D5" s="12">
        <v>21</v>
      </c>
      <c r="E5" s="6" t="s">
        <v>12</v>
      </c>
      <c r="F5" s="12">
        <v>1</v>
      </c>
      <c r="G5" s="13" t="s">
        <v>21</v>
      </c>
      <c r="H5" s="4" t="s">
        <v>14</v>
      </c>
      <c r="I5" s="7" t="str">
        <f>VLOOKUP(A5, Sayfa1!$K$14:$V$32, 12, FALSE)</f>
        <v>Düşük</v>
      </c>
      <c r="J5" s="1"/>
      <c r="K5" s="1"/>
      <c r="L5" s="1"/>
      <c r="M5" s="1"/>
      <c r="N5" s="1"/>
      <c r="O5" s="1"/>
      <c r="P5" s="1"/>
    </row>
    <row r="6" spans="1:16" ht="14.25" customHeight="1">
      <c r="A6" s="4" t="s">
        <v>22</v>
      </c>
      <c r="B6" s="9" t="s">
        <v>20</v>
      </c>
      <c r="C6" s="9" t="s">
        <v>11</v>
      </c>
      <c r="D6" s="10">
        <v>21</v>
      </c>
      <c r="E6" s="9" t="s">
        <v>16</v>
      </c>
      <c r="F6" s="10">
        <v>2</v>
      </c>
      <c r="G6" s="1" t="s">
        <v>21</v>
      </c>
      <c r="H6" s="14" t="s">
        <v>14</v>
      </c>
      <c r="I6" s="9" t="str">
        <f>VLOOKUP(A6, Sayfa1!$K$14:$V$32, 12, FALSE)</f>
        <v>Düşük</v>
      </c>
      <c r="J6" s="2"/>
      <c r="K6" s="2"/>
      <c r="L6" s="2"/>
      <c r="M6" s="2"/>
      <c r="N6" s="2"/>
      <c r="O6" s="2"/>
      <c r="P6" s="2"/>
    </row>
    <row r="7" spans="1:16" ht="14.25" customHeight="1">
      <c r="A7" s="4" t="s">
        <v>23</v>
      </c>
      <c r="B7" s="4" t="s">
        <v>20</v>
      </c>
      <c r="C7" s="4" t="s">
        <v>11</v>
      </c>
      <c r="D7" s="12">
        <v>21</v>
      </c>
      <c r="E7" s="6" t="s">
        <v>24</v>
      </c>
      <c r="F7" s="12">
        <v>3</v>
      </c>
      <c r="G7" s="13" t="s">
        <v>21</v>
      </c>
      <c r="H7" s="4" t="s">
        <v>14</v>
      </c>
      <c r="I7" s="6" t="str">
        <f>VLOOKUP(A7, Sayfa1!$K$14:$V$32, 12, FALSE)</f>
        <v>Düşük</v>
      </c>
    </row>
    <row r="8" spans="1:16" ht="14.25" customHeight="1">
      <c r="A8" s="4" t="s">
        <v>25</v>
      </c>
      <c r="B8" s="9" t="s">
        <v>26</v>
      </c>
      <c r="C8" s="9" t="s">
        <v>27</v>
      </c>
      <c r="D8" s="10">
        <v>25</v>
      </c>
      <c r="E8" s="9" t="s">
        <v>12</v>
      </c>
      <c r="F8" s="10">
        <v>1</v>
      </c>
      <c r="G8" s="1" t="s">
        <v>21</v>
      </c>
      <c r="H8" s="14" t="s">
        <v>14</v>
      </c>
      <c r="I8" s="9" t="str">
        <f>VLOOKUP(A8, Sayfa1!$K$14:$V$32, 12, FALSE)</f>
        <v>Düşük</v>
      </c>
    </row>
    <row r="9" spans="1:16" ht="14.25" customHeight="1">
      <c r="A9" s="4" t="s">
        <v>28</v>
      </c>
      <c r="B9" s="4" t="s">
        <v>26</v>
      </c>
      <c r="C9" s="4" t="s">
        <v>27</v>
      </c>
      <c r="D9" s="12">
        <v>25</v>
      </c>
      <c r="E9" s="6" t="s">
        <v>16</v>
      </c>
      <c r="F9" s="12">
        <v>2</v>
      </c>
      <c r="G9" s="13" t="s">
        <v>21</v>
      </c>
      <c r="H9" s="4" t="s">
        <v>14</v>
      </c>
      <c r="I9" s="6" t="str">
        <f>VLOOKUP(A9, Sayfa1!$K$14:$V$32, 12, FALSE)</f>
        <v>Düşük</v>
      </c>
    </row>
    <row r="10" spans="1:16" ht="14.25" customHeight="1">
      <c r="A10" s="4" t="s">
        <v>29</v>
      </c>
      <c r="B10" s="9" t="s">
        <v>26</v>
      </c>
      <c r="C10" s="9" t="s">
        <v>27</v>
      </c>
      <c r="D10" s="10">
        <v>25</v>
      </c>
      <c r="E10" s="9" t="s">
        <v>24</v>
      </c>
      <c r="F10" s="10">
        <v>3</v>
      </c>
      <c r="G10" s="1" t="s">
        <v>21</v>
      </c>
      <c r="H10" s="14" t="s">
        <v>14</v>
      </c>
      <c r="I10" s="9" t="str">
        <f>VLOOKUP(A10, Sayfa1!$K$14:$V$32, 12, FALSE)</f>
        <v>Düşük</v>
      </c>
    </row>
    <row r="11" spans="1:16" ht="14.25" customHeight="1">
      <c r="A11" s="4" t="s">
        <v>30</v>
      </c>
      <c r="B11" s="4" t="s">
        <v>31</v>
      </c>
      <c r="C11" s="4" t="s">
        <v>11</v>
      </c>
      <c r="D11" s="12">
        <v>22</v>
      </c>
      <c r="E11" s="6" t="s">
        <v>12</v>
      </c>
      <c r="F11" s="12">
        <v>1</v>
      </c>
      <c r="G11" s="13" t="s">
        <v>21</v>
      </c>
      <c r="H11" s="4" t="s">
        <v>14</v>
      </c>
      <c r="I11" s="6" t="str">
        <f>VLOOKUP(A11, Sayfa1!$K$14:$V$32, 12, FALSE)</f>
        <v>Düşük</v>
      </c>
    </row>
    <row r="12" spans="1:16" ht="14.25" customHeight="1">
      <c r="A12" s="4" t="s">
        <v>32</v>
      </c>
      <c r="B12" s="4" t="s">
        <v>31</v>
      </c>
      <c r="C12" s="4" t="s">
        <v>11</v>
      </c>
      <c r="D12" s="12">
        <v>22</v>
      </c>
      <c r="E12" s="5" t="s">
        <v>16</v>
      </c>
      <c r="F12" s="12">
        <v>2</v>
      </c>
      <c r="G12" s="13" t="s">
        <v>21</v>
      </c>
      <c r="H12" s="4" t="s">
        <v>14</v>
      </c>
      <c r="I12" s="5" t="str">
        <f>VLOOKUP(A12, Sayfa1!$K$14:$V$32, 12, FALSE)</f>
        <v>Düşük</v>
      </c>
    </row>
    <row r="13" spans="1:16" ht="14.25" customHeight="1">
      <c r="A13" s="4" t="s">
        <v>33</v>
      </c>
      <c r="B13" s="5" t="s">
        <v>31</v>
      </c>
      <c r="C13" s="5" t="s">
        <v>11</v>
      </c>
      <c r="D13" s="15">
        <v>22</v>
      </c>
      <c r="E13" s="5" t="s">
        <v>24</v>
      </c>
      <c r="F13" s="15">
        <v>3</v>
      </c>
      <c r="G13" s="2" t="s">
        <v>21</v>
      </c>
      <c r="H13" s="16" t="s">
        <v>14</v>
      </c>
      <c r="I13" s="5" t="str">
        <f>VLOOKUP(A13, Sayfa1!$K$14:$V$32, 12, FALSE)</f>
        <v>Düşük</v>
      </c>
    </row>
    <row r="14" spans="1:16" ht="14.25" customHeight="1">
      <c r="A14" s="4" t="s">
        <v>34</v>
      </c>
      <c r="B14" s="9" t="s">
        <v>35</v>
      </c>
      <c r="C14" s="9" t="s">
        <v>36</v>
      </c>
      <c r="D14" s="10">
        <v>10</v>
      </c>
      <c r="E14" s="9" t="s">
        <v>12</v>
      </c>
      <c r="F14" s="10">
        <v>1</v>
      </c>
      <c r="G14" s="2" t="s">
        <v>21</v>
      </c>
      <c r="H14" s="14" t="s">
        <v>14</v>
      </c>
      <c r="I14" s="9" t="str">
        <f>VLOOKUP(A14, Sayfa1!$K$14:$V$32, 12, FALSE)</f>
        <v>Düşük</v>
      </c>
    </row>
    <row r="15" spans="1:16" ht="14.25" customHeight="1">
      <c r="A15" s="4" t="s">
        <v>37</v>
      </c>
      <c r="B15" s="4" t="s">
        <v>35</v>
      </c>
      <c r="C15" s="4" t="s">
        <v>36</v>
      </c>
      <c r="D15" s="12">
        <v>10</v>
      </c>
      <c r="E15" s="6" t="s">
        <v>24</v>
      </c>
      <c r="F15" s="12">
        <v>3</v>
      </c>
      <c r="G15" s="2" t="s">
        <v>21</v>
      </c>
      <c r="H15" s="4" t="s">
        <v>14</v>
      </c>
      <c r="I15" s="6" t="str">
        <f>VLOOKUP(A15, Sayfa1!$K$14:$V$32, 12, FALSE)</f>
        <v>Düşük</v>
      </c>
    </row>
    <row r="16" spans="1:16" ht="14.25" customHeight="1">
      <c r="A16" s="4" t="s">
        <v>38</v>
      </c>
      <c r="B16" s="9" t="s">
        <v>35</v>
      </c>
      <c r="C16" s="9" t="s">
        <v>36</v>
      </c>
      <c r="D16" s="10">
        <v>10</v>
      </c>
      <c r="E16" s="9" t="s">
        <v>39</v>
      </c>
      <c r="F16" s="10">
        <v>4</v>
      </c>
      <c r="G16" s="2" t="s">
        <v>21</v>
      </c>
      <c r="H16" s="14" t="s">
        <v>14</v>
      </c>
      <c r="I16" s="9" t="str">
        <f>VLOOKUP(A16, Sayfa1!$K$14:$V$32, 12, FALSE)</f>
        <v>Düşük</v>
      </c>
    </row>
    <row r="17" spans="1:9" ht="14.25" customHeight="1">
      <c r="A17" s="4" t="s">
        <v>40</v>
      </c>
      <c r="B17" s="4" t="s">
        <v>41</v>
      </c>
      <c r="C17" s="4" t="s">
        <v>11</v>
      </c>
      <c r="D17" s="12">
        <v>20</v>
      </c>
      <c r="E17" s="6" t="s">
        <v>12</v>
      </c>
      <c r="F17" s="12">
        <v>1</v>
      </c>
      <c r="G17" s="2" t="s">
        <v>21</v>
      </c>
      <c r="H17" s="4" t="s">
        <v>14</v>
      </c>
      <c r="I17" s="6" t="str">
        <f>VLOOKUP(A17, Sayfa1!$K$14:$V$32, 12, FALSE)</f>
        <v>Düşük</v>
      </c>
    </row>
    <row r="18" spans="1:9" ht="14.25" customHeight="1">
      <c r="A18" s="4" t="s">
        <v>42</v>
      </c>
      <c r="B18" s="4" t="s">
        <v>41</v>
      </c>
      <c r="C18" s="4" t="s">
        <v>11</v>
      </c>
      <c r="D18" s="12">
        <v>20</v>
      </c>
      <c r="E18" s="5" t="s">
        <v>24</v>
      </c>
      <c r="F18" s="12">
        <v>3</v>
      </c>
      <c r="G18" s="2" t="s">
        <v>21</v>
      </c>
      <c r="H18" s="4" t="s">
        <v>14</v>
      </c>
      <c r="I18" s="5" t="str">
        <f>VLOOKUP(A18, Sayfa1!$K$14:$V$32, 12, FALSE)</f>
        <v>Düşük</v>
      </c>
    </row>
    <row r="19" spans="1:9" ht="14.25" customHeight="1">
      <c r="A19" s="4" t="s">
        <v>43</v>
      </c>
      <c r="B19" s="5" t="s">
        <v>41</v>
      </c>
      <c r="C19" s="5" t="s">
        <v>11</v>
      </c>
      <c r="D19" s="15">
        <v>20</v>
      </c>
      <c r="E19" s="5" t="s">
        <v>39</v>
      </c>
      <c r="F19" s="15">
        <v>4</v>
      </c>
      <c r="G19" s="2" t="s">
        <v>21</v>
      </c>
      <c r="H19" s="16" t="s">
        <v>14</v>
      </c>
      <c r="I19" s="5" t="str">
        <f>VLOOKUP(A19, Sayfa1!$K$14:$V$32, 12, FALSE)</f>
        <v>Düşük</v>
      </c>
    </row>
    <row r="20" spans="1:9" ht="14.25" customHeight="1">
      <c r="G20" s="1"/>
    </row>
    <row r="21" spans="1:9" ht="14.25" customHeight="1">
      <c r="G21" s="1"/>
    </row>
    <row r="22" spans="1:9" ht="14.25" customHeight="1">
      <c r="G22" s="1"/>
    </row>
    <row r="23" spans="1:9" ht="14.25" customHeight="1">
      <c r="G23" s="1"/>
    </row>
    <row r="24" spans="1:9" ht="14.25" customHeight="1">
      <c r="G24" s="1"/>
    </row>
    <row r="25" spans="1:9" ht="14.25" customHeight="1">
      <c r="G25" s="1"/>
    </row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K1:W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1:23" ht="14.25" customHeight="1"/>
    <row r="2" spans="11:23" ht="14.25" customHeight="1"/>
    <row r="3" spans="11:23" ht="14.25" customHeight="1"/>
    <row r="4" spans="11:23" ht="14.25" customHeight="1"/>
    <row r="5" spans="11:23" ht="14.25" customHeight="1"/>
    <row r="6" spans="11:23" ht="14.25" customHeight="1"/>
    <row r="7" spans="11:23" ht="14.25" customHeight="1"/>
    <row r="8" spans="11:23" ht="14.25" customHeight="1"/>
    <row r="9" spans="11:23" ht="14.25" customHeight="1"/>
    <row r="10" spans="11:23" ht="14.25" customHeight="1"/>
    <row r="11" spans="11:23" ht="14.25" customHeight="1"/>
    <row r="12" spans="11:23" ht="14.25" customHeight="1"/>
    <row r="13" spans="11:23" ht="14.25" customHeight="1"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1:23" ht="14.25" customHeight="1">
      <c r="K14" s="18" t="s">
        <v>0</v>
      </c>
      <c r="L14" s="19"/>
      <c r="M14" s="20"/>
      <c r="N14" s="18" t="s">
        <v>1</v>
      </c>
      <c r="O14" s="18" t="s">
        <v>2</v>
      </c>
      <c r="P14" s="18" t="s">
        <v>3</v>
      </c>
      <c r="Q14" s="21" t="s">
        <v>4</v>
      </c>
      <c r="R14" s="18" t="s">
        <v>44</v>
      </c>
      <c r="S14" s="22" t="s">
        <v>6</v>
      </c>
      <c r="T14" s="21"/>
      <c r="U14" s="21" t="s">
        <v>7</v>
      </c>
      <c r="V14" s="22" t="s">
        <v>8</v>
      </c>
      <c r="W14" s="21"/>
    </row>
    <row r="15" spans="11:23" ht="14.25" customHeight="1">
      <c r="K15" s="23" t="s">
        <v>9</v>
      </c>
      <c r="L15" s="18"/>
      <c r="M15" s="18"/>
      <c r="N15" s="24" t="s">
        <v>10</v>
      </c>
      <c r="O15" s="24" t="s">
        <v>11</v>
      </c>
      <c r="P15" s="24">
        <v>21</v>
      </c>
      <c r="Q15" s="25" t="s">
        <v>12</v>
      </c>
      <c r="R15" s="24">
        <v>1</v>
      </c>
      <c r="S15" s="26" t="s">
        <v>13</v>
      </c>
      <c r="T15" s="25"/>
      <c r="U15" s="27" t="s">
        <v>14</v>
      </c>
      <c r="V15" s="19" t="s">
        <v>45</v>
      </c>
      <c r="W15" s="27"/>
    </row>
    <row r="16" spans="11:23" ht="14.25" customHeight="1">
      <c r="K16" s="18" t="s">
        <v>15</v>
      </c>
      <c r="L16" s="18"/>
      <c r="M16" s="18"/>
      <c r="N16" s="18" t="s">
        <v>10</v>
      </c>
      <c r="O16" s="18" t="s">
        <v>11</v>
      </c>
      <c r="P16" s="18">
        <v>21</v>
      </c>
      <c r="Q16" s="21" t="s">
        <v>16</v>
      </c>
      <c r="R16" s="18">
        <v>2</v>
      </c>
      <c r="S16" s="22" t="s">
        <v>13</v>
      </c>
      <c r="T16" s="22"/>
      <c r="U16" s="18" t="s">
        <v>14</v>
      </c>
      <c r="V16" s="19" t="s">
        <v>45</v>
      </c>
      <c r="W16" s="21"/>
    </row>
    <row r="17" spans="11:23" ht="14.25" customHeight="1">
      <c r="K17" s="18" t="s">
        <v>17</v>
      </c>
      <c r="L17" s="18"/>
      <c r="M17" s="18"/>
      <c r="N17" s="24" t="s">
        <v>10</v>
      </c>
      <c r="O17" s="24" t="s">
        <v>11</v>
      </c>
      <c r="P17" s="24">
        <v>21</v>
      </c>
      <c r="Q17" s="25" t="s">
        <v>18</v>
      </c>
      <c r="R17" s="24">
        <v>5</v>
      </c>
      <c r="S17" s="26" t="s">
        <v>13</v>
      </c>
      <c r="U17" s="24" t="s">
        <v>14</v>
      </c>
      <c r="V17" s="19" t="s">
        <v>45</v>
      </c>
      <c r="W17" s="25"/>
    </row>
    <row r="18" spans="11:23" ht="14.25" customHeight="1">
      <c r="K18" s="18" t="s">
        <v>19</v>
      </c>
      <c r="L18" s="18"/>
      <c r="M18" s="18"/>
      <c r="N18" s="18" t="s">
        <v>20</v>
      </c>
      <c r="O18" s="18" t="s">
        <v>11</v>
      </c>
      <c r="P18" s="18">
        <v>21</v>
      </c>
      <c r="Q18" s="21" t="s">
        <v>12</v>
      </c>
      <c r="R18" s="18">
        <v>1</v>
      </c>
      <c r="S18" s="22" t="s">
        <v>21</v>
      </c>
      <c r="T18" s="22"/>
      <c r="U18" s="18" t="s">
        <v>14</v>
      </c>
      <c r="V18" s="19" t="s">
        <v>46</v>
      </c>
      <c r="W18" s="21"/>
    </row>
    <row r="19" spans="11:23" ht="14.25" customHeight="1">
      <c r="K19" s="18" t="s">
        <v>22</v>
      </c>
      <c r="L19" s="18"/>
      <c r="M19" s="18"/>
      <c r="N19" s="24" t="s">
        <v>20</v>
      </c>
      <c r="O19" s="24" t="s">
        <v>11</v>
      </c>
      <c r="P19" s="24">
        <v>21</v>
      </c>
      <c r="Q19" s="25" t="s">
        <v>16</v>
      </c>
      <c r="R19" s="24">
        <v>2</v>
      </c>
      <c r="S19" s="26" t="s">
        <v>21</v>
      </c>
      <c r="U19" s="24" t="s">
        <v>14</v>
      </c>
      <c r="V19" s="19" t="s">
        <v>46</v>
      </c>
      <c r="W19" s="25"/>
    </row>
    <row r="20" spans="11:23" ht="14.25" customHeight="1">
      <c r="K20" s="18" t="s">
        <v>23</v>
      </c>
      <c r="L20" s="18"/>
      <c r="M20" s="18"/>
      <c r="N20" s="18" t="s">
        <v>20</v>
      </c>
      <c r="O20" s="18" t="s">
        <v>11</v>
      </c>
      <c r="P20" s="18">
        <v>21</v>
      </c>
      <c r="Q20" s="21" t="s">
        <v>24</v>
      </c>
      <c r="R20" s="18">
        <v>3</v>
      </c>
      <c r="S20" s="22" t="s">
        <v>21</v>
      </c>
      <c r="T20" s="22"/>
      <c r="U20" s="18" t="s">
        <v>14</v>
      </c>
      <c r="V20" s="19" t="s">
        <v>46</v>
      </c>
      <c r="W20" s="21"/>
    </row>
    <row r="21" spans="11:23" ht="14.25" customHeight="1">
      <c r="K21" s="18" t="s">
        <v>25</v>
      </c>
      <c r="L21" s="18"/>
      <c r="M21" s="18"/>
      <c r="N21" s="24" t="s">
        <v>26</v>
      </c>
      <c r="O21" s="24" t="s">
        <v>27</v>
      </c>
      <c r="P21" s="24">
        <v>25</v>
      </c>
      <c r="Q21" s="25" t="s">
        <v>12</v>
      </c>
      <c r="R21" s="24">
        <v>1</v>
      </c>
      <c r="S21" s="26" t="s">
        <v>21</v>
      </c>
      <c r="U21" s="24" t="s">
        <v>14</v>
      </c>
      <c r="V21" s="19" t="s">
        <v>46</v>
      </c>
      <c r="W21" s="25"/>
    </row>
    <row r="22" spans="11:23" ht="14.25" customHeight="1">
      <c r="K22" s="18" t="s">
        <v>28</v>
      </c>
      <c r="L22" s="18"/>
      <c r="M22" s="18"/>
      <c r="N22" s="18" t="s">
        <v>26</v>
      </c>
      <c r="O22" s="18" t="s">
        <v>27</v>
      </c>
      <c r="P22" s="18">
        <v>25</v>
      </c>
      <c r="Q22" s="21" t="s">
        <v>16</v>
      </c>
      <c r="R22" s="18">
        <v>2</v>
      </c>
      <c r="S22" s="22" t="s">
        <v>21</v>
      </c>
      <c r="T22" s="22"/>
      <c r="U22" s="18" t="s">
        <v>14</v>
      </c>
      <c r="V22" s="19" t="s">
        <v>46</v>
      </c>
      <c r="W22" s="21"/>
    </row>
    <row r="23" spans="11:23" ht="14.25" customHeight="1">
      <c r="K23" s="18" t="s">
        <v>29</v>
      </c>
      <c r="L23" s="18"/>
      <c r="M23" s="18"/>
      <c r="N23" s="24" t="s">
        <v>26</v>
      </c>
      <c r="O23" s="24" t="s">
        <v>27</v>
      </c>
      <c r="P23" s="24">
        <v>25</v>
      </c>
      <c r="Q23" s="25" t="s">
        <v>24</v>
      </c>
      <c r="R23" s="24">
        <v>3</v>
      </c>
      <c r="S23" s="26" t="s">
        <v>21</v>
      </c>
      <c r="U23" s="24" t="s">
        <v>14</v>
      </c>
      <c r="V23" s="19" t="s">
        <v>46</v>
      </c>
      <c r="W23" s="25"/>
    </row>
    <row r="24" spans="11:23" ht="14.25" customHeight="1">
      <c r="K24" s="18" t="s">
        <v>30</v>
      </c>
      <c r="L24" s="18"/>
      <c r="M24" s="18"/>
      <c r="N24" s="18" t="s">
        <v>31</v>
      </c>
      <c r="O24" s="18" t="s">
        <v>11</v>
      </c>
      <c r="P24" s="18">
        <v>22</v>
      </c>
      <c r="Q24" s="21" t="s">
        <v>12</v>
      </c>
      <c r="R24" s="18">
        <v>1</v>
      </c>
      <c r="S24" s="22" t="s">
        <v>21</v>
      </c>
      <c r="T24" s="22"/>
      <c r="U24" s="18" t="s">
        <v>14</v>
      </c>
      <c r="V24" s="19" t="s">
        <v>46</v>
      </c>
      <c r="W24" s="21"/>
    </row>
    <row r="25" spans="11:23" ht="14.25" customHeight="1">
      <c r="K25" s="18" t="s">
        <v>32</v>
      </c>
      <c r="L25" s="18"/>
      <c r="M25" s="18"/>
      <c r="N25" s="18" t="s">
        <v>31</v>
      </c>
      <c r="O25" s="18" t="s">
        <v>11</v>
      </c>
      <c r="P25" s="18">
        <v>22</v>
      </c>
      <c r="Q25" s="21" t="s">
        <v>16</v>
      </c>
      <c r="R25" s="18">
        <v>2</v>
      </c>
      <c r="S25" s="22" t="s">
        <v>21</v>
      </c>
      <c r="T25" s="22"/>
      <c r="U25" s="18" t="s">
        <v>14</v>
      </c>
      <c r="V25" s="19" t="s">
        <v>46</v>
      </c>
      <c r="W25" s="21"/>
    </row>
    <row r="26" spans="11:23" ht="14.25" customHeight="1">
      <c r="K26" s="18" t="s">
        <v>33</v>
      </c>
      <c r="L26" s="18"/>
      <c r="M26" s="28"/>
      <c r="N26" s="28" t="s">
        <v>31</v>
      </c>
      <c r="O26" s="28" t="s">
        <v>11</v>
      </c>
      <c r="P26" s="28">
        <v>22</v>
      </c>
      <c r="Q26" s="20" t="s">
        <v>24</v>
      </c>
      <c r="R26" s="28">
        <v>3</v>
      </c>
      <c r="S26" s="17" t="s">
        <v>21</v>
      </c>
      <c r="T26" s="17"/>
      <c r="U26" s="28" t="s">
        <v>14</v>
      </c>
      <c r="V26" s="29" t="s">
        <v>46</v>
      </c>
      <c r="W26" s="20"/>
    </row>
    <row r="27" spans="11:23" ht="14.25" customHeight="1">
      <c r="K27" s="18" t="s">
        <v>34</v>
      </c>
      <c r="L27" s="18"/>
      <c r="M27" s="18"/>
      <c r="N27" s="24" t="s">
        <v>35</v>
      </c>
      <c r="O27" s="24" t="s">
        <v>36</v>
      </c>
      <c r="P27" s="24">
        <v>10</v>
      </c>
      <c r="Q27" s="25" t="s">
        <v>12</v>
      </c>
      <c r="R27" s="24">
        <v>1</v>
      </c>
      <c r="S27" s="19" t="s">
        <v>21</v>
      </c>
      <c r="U27" s="24" t="s">
        <v>14</v>
      </c>
      <c r="V27" s="19" t="s">
        <v>46</v>
      </c>
      <c r="W27" s="25"/>
    </row>
    <row r="28" spans="11:23" ht="14.25" customHeight="1">
      <c r="K28" s="18" t="s">
        <v>37</v>
      </c>
      <c r="L28" s="18"/>
      <c r="M28" s="18"/>
      <c r="N28" s="18" t="s">
        <v>35</v>
      </c>
      <c r="O28" s="18" t="s">
        <v>36</v>
      </c>
      <c r="P28" s="18">
        <v>10</v>
      </c>
      <c r="Q28" s="21" t="s">
        <v>24</v>
      </c>
      <c r="R28" s="18">
        <v>3</v>
      </c>
      <c r="S28" s="29" t="s">
        <v>21</v>
      </c>
      <c r="T28" s="22"/>
      <c r="U28" s="18" t="s">
        <v>14</v>
      </c>
      <c r="V28" s="19" t="s">
        <v>46</v>
      </c>
      <c r="W28" s="21"/>
    </row>
    <row r="29" spans="11:23" ht="14.25" customHeight="1">
      <c r="K29" s="18" t="s">
        <v>38</v>
      </c>
      <c r="L29" s="18"/>
      <c r="M29" s="18"/>
      <c r="N29" s="24" t="s">
        <v>35</v>
      </c>
      <c r="O29" s="24" t="s">
        <v>36</v>
      </c>
      <c r="P29" s="24">
        <v>10</v>
      </c>
      <c r="Q29" s="25" t="s">
        <v>39</v>
      </c>
      <c r="R29" s="24">
        <v>4</v>
      </c>
      <c r="S29" s="29" t="s">
        <v>21</v>
      </c>
      <c r="U29" s="24" t="s">
        <v>14</v>
      </c>
      <c r="V29" s="19" t="s">
        <v>46</v>
      </c>
      <c r="W29" s="25"/>
    </row>
    <row r="30" spans="11:23" ht="14.25" customHeight="1">
      <c r="K30" s="18" t="s">
        <v>40</v>
      </c>
      <c r="L30" s="18"/>
      <c r="M30" s="18"/>
      <c r="N30" s="18" t="s">
        <v>41</v>
      </c>
      <c r="O30" s="18" t="s">
        <v>11</v>
      </c>
      <c r="P30" s="18">
        <v>20</v>
      </c>
      <c r="Q30" s="21" t="s">
        <v>12</v>
      </c>
      <c r="R30" s="18">
        <v>1</v>
      </c>
      <c r="S30" s="29" t="s">
        <v>21</v>
      </c>
      <c r="T30" s="22"/>
      <c r="U30" s="18" t="s">
        <v>14</v>
      </c>
      <c r="V30" s="19" t="s">
        <v>46</v>
      </c>
      <c r="W30" s="21"/>
    </row>
    <row r="31" spans="11:23" ht="14.25" customHeight="1">
      <c r="K31" s="18" t="s">
        <v>42</v>
      </c>
      <c r="L31" s="18"/>
      <c r="M31" s="18"/>
      <c r="N31" s="18" t="s">
        <v>41</v>
      </c>
      <c r="O31" s="18" t="s">
        <v>11</v>
      </c>
      <c r="P31" s="18">
        <v>20</v>
      </c>
      <c r="Q31" s="21" t="s">
        <v>24</v>
      </c>
      <c r="R31" s="18">
        <v>3</v>
      </c>
      <c r="S31" s="29" t="s">
        <v>21</v>
      </c>
      <c r="T31" s="22"/>
      <c r="U31" s="18" t="s">
        <v>14</v>
      </c>
      <c r="V31" s="19" t="s">
        <v>46</v>
      </c>
      <c r="W31" s="21"/>
    </row>
    <row r="32" spans="11:23" ht="14.25" customHeight="1">
      <c r="K32" s="18" t="s">
        <v>43</v>
      </c>
      <c r="L32" s="18"/>
      <c r="M32" s="18"/>
      <c r="N32" s="28" t="s">
        <v>41</v>
      </c>
      <c r="O32" s="28" t="s">
        <v>11</v>
      </c>
      <c r="P32" s="28">
        <v>20</v>
      </c>
      <c r="Q32" s="20" t="s">
        <v>39</v>
      </c>
      <c r="R32" s="28">
        <v>4</v>
      </c>
      <c r="S32" s="17" t="s">
        <v>21</v>
      </c>
      <c r="T32" s="17"/>
      <c r="U32" s="28" t="s">
        <v>14</v>
      </c>
      <c r="V32" s="19" t="s">
        <v>46</v>
      </c>
      <c r="W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Sayfa2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EMİRHAN YAŞAR</dc:creator>
  <cp:lastModifiedBy>SALİH ALBAYRAK</cp:lastModifiedBy>
  <dcterms:created xsi:type="dcterms:W3CDTF">2026-03-22T18:11:34Z</dcterms:created>
  <dcterms:modified xsi:type="dcterms:W3CDTF">2026-03-30T18:11:42Z</dcterms:modified>
</cp:coreProperties>
</file>